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yoshi\OneDrive - Missouri State University\01 Research MSU\0 Projects\With Razib\2017-2026 Smartophone-Mutivariarate Analysis project\"/>
    </mc:Choice>
  </mc:AlternateContent>
  <xr:revisionPtr revIDLastSave="0" documentId="8_{9B0DE9EB-6EC5-4FC4-8997-D650AB41605E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1" l="1"/>
  <c r="AH15" i="1"/>
  <c r="AH16" i="1"/>
  <c r="AH17" i="1"/>
  <c r="AH13" i="1"/>
  <c r="AG14" i="1"/>
  <c r="AG15" i="1"/>
  <c r="AG16" i="1"/>
  <c r="AG17" i="1"/>
  <c r="AG13" i="1"/>
  <c r="AE14" i="1"/>
  <c r="AE15" i="1"/>
  <c r="AE16" i="1"/>
  <c r="AE17" i="1"/>
  <c r="AE13" i="1"/>
  <c r="AD14" i="1"/>
  <c r="AD15" i="1"/>
  <c r="AD16" i="1"/>
  <c r="AD17" i="1"/>
  <c r="AD13" i="1"/>
  <c r="AA14" i="1"/>
  <c r="AA15" i="1"/>
  <c r="AA16" i="1"/>
  <c r="AA17" i="1"/>
  <c r="AA13" i="1"/>
  <c r="Z14" i="1"/>
  <c r="Z15" i="1"/>
  <c r="Z16" i="1"/>
  <c r="Z17" i="1"/>
  <c r="Z13" i="1"/>
  <c r="AA7" i="1"/>
  <c r="AA8" i="1"/>
  <c r="AA9" i="1"/>
  <c r="AA10" i="1"/>
  <c r="AA6" i="1"/>
  <c r="Z7" i="1"/>
  <c r="Z8" i="1"/>
  <c r="Z9" i="1"/>
  <c r="Z10" i="1"/>
  <c r="Z6" i="1"/>
  <c r="X13" i="1"/>
  <c r="W13" i="1"/>
  <c r="X15" i="1"/>
  <c r="X16" i="1"/>
  <c r="X17" i="1"/>
  <c r="X14" i="1"/>
  <c r="W15" i="1"/>
  <c r="W16" i="1"/>
  <c r="W17" i="1"/>
  <c r="W14" i="1"/>
  <c r="X7" i="1"/>
  <c r="X8" i="1"/>
  <c r="X9" i="1"/>
  <c r="X10" i="1"/>
  <c r="X6" i="1"/>
  <c r="W7" i="1"/>
  <c r="W8" i="1"/>
  <c r="W9" i="1"/>
  <c r="W10" i="1"/>
  <c r="W6" i="1"/>
  <c r="P13" i="1"/>
  <c r="I13" i="1"/>
  <c r="M10" i="1" l="1"/>
  <c r="L10" i="1"/>
  <c r="J10" i="1"/>
  <c r="I10" i="1"/>
  <c r="M9" i="1"/>
  <c r="L9" i="1"/>
  <c r="J9" i="1"/>
  <c r="I9" i="1"/>
  <c r="M8" i="1"/>
  <c r="L8" i="1"/>
  <c r="J8" i="1"/>
  <c r="I8" i="1"/>
  <c r="I7" i="1"/>
  <c r="S14" i="1"/>
  <c r="T14" i="1"/>
  <c r="S15" i="1"/>
  <c r="T15" i="1"/>
  <c r="S16" i="1"/>
  <c r="T16" i="1"/>
  <c r="S17" i="1"/>
  <c r="T17" i="1"/>
  <c r="T13" i="1"/>
  <c r="S13" i="1"/>
  <c r="Q13" i="1"/>
  <c r="P14" i="1"/>
  <c r="P15" i="1"/>
  <c r="P16" i="1"/>
  <c r="P17" i="1"/>
  <c r="M17" i="1"/>
  <c r="L17" i="1"/>
  <c r="J17" i="1"/>
  <c r="I17" i="1"/>
  <c r="M16" i="1"/>
  <c r="L16" i="1"/>
  <c r="J16" i="1"/>
  <c r="I16" i="1"/>
  <c r="M15" i="1"/>
  <c r="L15" i="1"/>
  <c r="J15" i="1"/>
  <c r="I15" i="1"/>
  <c r="M14" i="1"/>
  <c r="L14" i="1"/>
  <c r="J14" i="1"/>
  <c r="I14" i="1"/>
  <c r="M13" i="1"/>
  <c r="L13" i="1"/>
  <c r="J13" i="1"/>
  <c r="M7" i="1"/>
  <c r="L7" i="1"/>
  <c r="J7" i="1"/>
  <c r="M6" i="1"/>
  <c r="L6" i="1"/>
  <c r="J6" i="1"/>
  <c r="I6" i="1"/>
  <c r="Q16" i="1" l="1"/>
  <c r="Q17" i="1"/>
  <c r="Q15" i="1"/>
  <c r="Q14" i="1"/>
</calcChain>
</file>

<file path=xl/sharedStrings.xml><?xml version="1.0" encoding="utf-8"?>
<sst xmlns="http://schemas.openxmlformats.org/spreadsheetml/2006/main" count="154" uniqueCount="36">
  <si>
    <t>Raw data (Example: The app should be able to flexibly adapt the various dimentions)</t>
  </si>
  <si>
    <t>1. Linear rescaling (vs Control) (i.e., Min-Max Normalization (vs Control))</t>
  </si>
  <si>
    <t>2. Linear rescaling (within Readings) (i.e., Min-Max Normalization (within Readings)</t>
  </si>
  <si>
    <t>3. Standardization (by values for Controls)  (i.e., Z-score (by values for Control))</t>
  </si>
  <si>
    <t>4. Standardization (within Readings only) (i.e., Z-score (within Readings only))</t>
  </si>
  <si>
    <t>Gray scale mode</t>
  </si>
  <si>
    <t>Formula = {Reading(i)-Control(Min)}/{(Control(Max)-Control(Min)}</t>
  </si>
  <si>
    <t>Formula = {Reading(i)-Reading(Min)}/{(Reading(Max)-Reading(Min)}</t>
  </si>
  <si>
    <t>Formula = {Reading(i)-Average(of Controls)}/{(Sample standard deviation(of Controls)}</t>
  </si>
  <si>
    <t>Formula = {Reading(i)-Average(of Readings)}/{(Sample standard deviation(of Readings)}</t>
  </si>
  <si>
    <t>Data type</t>
  </si>
  <si>
    <t>Reference</t>
  </si>
  <si>
    <t>Sample</t>
  </si>
  <si>
    <t>Label of sample/reference</t>
  </si>
  <si>
    <t>Cu2+</t>
  </si>
  <si>
    <t>Ni2+</t>
  </si>
  <si>
    <t>Sample 1</t>
  </si>
  <si>
    <t>Sample 2</t>
  </si>
  <si>
    <t>Control spot 1</t>
  </si>
  <si>
    <t>Control spot 2</t>
  </si>
  <si>
    <t>Control spot 3</t>
  </si>
  <si>
    <t>Control spot 4</t>
  </si>
  <si>
    <t>Control spot 5</t>
  </si>
  <si>
    <t>Control spot 6</t>
  </si>
  <si>
    <t>Reading spot 1</t>
  </si>
  <si>
    <t>Reading spot 2</t>
  </si>
  <si>
    <t>Reading spot 3</t>
  </si>
  <si>
    <t>Reading spot 4</t>
  </si>
  <si>
    <t>Reading spot 5</t>
  </si>
  <si>
    <t>Reading spot 6</t>
  </si>
  <si>
    <t>Reading spot 7</t>
  </si>
  <si>
    <t>Reading spot 8</t>
  </si>
  <si>
    <t>Reading spot 9</t>
  </si>
  <si>
    <t>Reading spot 10</t>
  </si>
  <si>
    <t>Reading spot 11</t>
  </si>
  <si>
    <t>Reading spot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</si>
</sst>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1" xfId="0" applyFill="1" applyBorder="1"/>
    <xf numFmtId="164" fontId="0" fillId="2" borderId="1" xfId="0" applyNumberFormat="1" applyFill="1" applyBorder="1"/>
    <xf numFmtId="164" fontId="0" fillId="2" borderId="0" xfId="0" applyNumberFormat="1" applyFill="1"/>
    <xf numFmtId="0" fontId="1" fillId="3" borderId="0" xfId="0" applyFont="1" applyFill="1"/>
    <xf numFmtId="164" fontId="0" fillId="3" borderId="0" xfId="0" applyNumberFormat="1" applyFill="1"/>
    <xf numFmtId="0" fontId="0" fillId="3" borderId="1" xfId="0" applyFill="1" applyBorder="1"/>
    <xf numFmtId="164" fontId="0" fillId="3" borderId="1" xfId="0" applyNumberFormat="1" applyFill="1" applyBorder="1"/>
    <xf numFmtId="0" fontId="0" fillId="3" borderId="0" xfId="0" applyFill="1"/>
    <xf numFmtId="0" fontId="0" fillId="2" borderId="0" xfId="0" applyFill="1"/>
    <xf numFmtId="0" fontId="1" fillId="4" borderId="0" xfId="0" applyFont="1" applyFill="1"/>
    <xf numFmtId="164" fontId="0" fillId="4" borderId="0" xfId="0" applyNumberForma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5" borderId="1" xfId="0" applyFill="1" applyBorder="1"/>
    <xf numFmtId="0" fontId="1" fillId="6" borderId="0" xfId="0" applyFont="1" applyFill="1"/>
    <xf numFmtId="164" fontId="0" fillId="6" borderId="0" xfId="0" applyNumberFormat="1" applyFill="1"/>
    <xf numFmtId="0" fontId="0" fillId="6" borderId="1" xfId="0" applyFill="1" applyBorder="1"/>
    <xf numFmtId="164" fontId="0" fillId="6" borderId="1" xfId="0" applyNumberFormat="1" applyFill="1" applyBorder="1"/>
    <xf numFmtId="0" fontId="0" fillId="6" borderId="0" xfId="0" applyFill="1"/>
    <xf numFmtId="164" fontId="1" fillId="6" borderId="0" xfId="0" applyNumberFormat="1" applyFont="1" applyFill="1"/>
    <xf numFmtId="164" fontId="1" fillId="3" borderId="0" xfId="0" applyNumberFormat="1" applyFont="1" applyFill="1"/>
    <xf numFmtId="164" fontId="1" fillId="2" borderId="2" xfId="0" applyNumberFormat="1" applyFont="1" applyFill="1" applyBorder="1" applyAlignment="1">
      <alignment horizontal="left" wrapText="1"/>
    </xf>
    <xf numFmtId="164" fontId="1" fillId="4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tabSelected="1" topLeftCell="O1" workbookViewId="0">
      <selection activeCell="AH13" sqref="AH13:AH17"/>
    </sheetView>
  </sheetViews>
  <sheetFormatPr defaultRowHeight="14.45"/>
  <cols>
    <col min="1" max="1" width="24" style="18" customWidth="1"/>
    <col min="2" max="2" width="10.28515625" style="18" customWidth="1"/>
    <col min="3" max="3" width="10.7109375" style="18" customWidth="1"/>
    <col min="4" max="4" width="3.7109375" style="18" customWidth="1"/>
    <col min="5" max="5" width="10.28515625" style="18" customWidth="1"/>
    <col min="6" max="6" width="10.7109375" style="18" customWidth="1"/>
    <col min="8" max="8" width="24" style="24" customWidth="1"/>
    <col min="9" max="9" width="10.28515625" style="21" customWidth="1"/>
    <col min="10" max="10" width="10.7109375" style="21" customWidth="1"/>
    <col min="11" max="11" width="3.7109375" style="21" customWidth="1"/>
    <col min="12" max="12" width="10.28515625" style="21" customWidth="1"/>
    <col min="13" max="13" width="10.7109375" style="21" customWidth="1"/>
    <col min="14" max="14" width="5" customWidth="1"/>
    <col min="15" max="15" width="24" style="10" customWidth="1"/>
    <col min="16" max="16" width="10.28515625" style="7" customWidth="1"/>
    <col min="17" max="17" width="10.7109375" style="7" customWidth="1"/>
    <col min="18" max="18" width="3.7109375" style="7" customWidth="1"/>
    <col min="19" max="19" width="10.28515625" style="7" customWidth="1"/>
    <col min="20" max="20" width="10.7109375" style="7" customWidth="1"/>
    <col min="21" max="21" width="4.28515625" customWidth="1"/>
    <col min="22" max="22" width="24" style="16" customWidth="1"/>
    <col min="23" max="23" width="10.28515625" style="13" customWidth="1"/>
    <col min="24" max="24" width="10.7109375" style="13" customWidth="1"/>
    <col min="25" max="25" width="3.7109375" style="13" customWidth="1"/>
    <col min="26" max="26" width="10.28515625" style="13" customWidth="1"/>
    <col min="27" max="27" width="11.28515625" style="13" customWidth="1"/>
    <col min="28" max="28" width="4.28515625" customWidth="1"/>
    <col min="29" max="29" width="24" style="11" customWidth="1"/>
    <col min="30" max="30" width="10.28515625" style="5" customWidth="1"/>
    <col min="31" max="31" width="10.7109375" style="5" customWidth="1"/>
    <col min="32" max="32" width="3.7109375" style="5" customWidth="1"/>
    <col min="33" max="33" width="10.28515625" style="5" customWidth="1"/>
    <col min="34" max="34" width="10.85546875" style="5" customWidth="1"/>
    <col min="35" max="35" width="4" customWidth="1"/>
  </cols>
  <sheetData>
    <row r="1" spans="1:34">
      <c r="A1" s="17" t="s">
        <v>0</v>
      </c>
      <c r="H1" s="20" t="s">
        <v>1</v>
      </c>
      <c r="O1" s="6" t="s">
        <v>2</v>
      </c>
      <c r="V1" s="12" t="s">
        <v>3</v>
      </c>
      <c r="AC1" s="2" t="s">
        <v>4</v>
      </c>
    </row>
    <row r="2" spans="1:34">
      <c r="A2" s="17" t="s">
        <v>5</v>
      </c>
      <c r="H2" s="20" t="s">
        <v>5</v>
      </c>
      <c r="O2" s="6" t="s">
        <v>5</v>
      </c>
      <c r="V2" s="12" t="s">
        <v>5</v>
      </c>
      <c r="AC2" s="2" t="s">
        <v>5</v>
      </c>
    </row>
    <row r="3" spans="1:34" s="1" customFormat="1" ht="34.15" customHeight="1">
      <c r="A3" s="17"/>
      <c r="B3" s="17"/>
      <c r="C3" s="17"/>
      <c r="D3" s="17"/>
      <c r="E3" s="17"/>
      <c r="F3" s="17"/>
      <c r="H3" s="25" t="s">
        <v>6</v>
      </c>
      <c r="I3" s="25"/>
      <c r="J3" s="25"/>
      <c r="K3" s="25"/>
      <c r="L3" s="25"/>
      <c r="M3" s="25"/>
      <c r="O3" s="26" t="s">
        <v>7</v>
      </c>
      <c r="P3" s="26"/>
      <c r="Q3" s="26"/>
      <c r="R3" s="26"/>
      <c r="S3" s="26"/>
      <c r="T3" s="26"/>
      <c r="V3" s="28" t="s">
        <v>8</v>
      </c>
      <c r="W3" s="28"/>
      <c r="X3" s="28"/>
      <c r="Y3" s="28"/>
      <c r="Z3" s="28"/>
      <c r="AA3" s="28"/>
      <c r="AC3" s="27" t="s">
        <v>9</v>
      </c>
      <c r="AD3" s="27"/>
      <c r="AE3" s="27"/>
      <c r="AF3" s="27"/>
      <c r="AG3" s="27"/>
      <c r="AH3" s="27"/>
    </row>
    <row r="4" spans="1:34">
      <c r="A4" s="19" t="s">
        <v>10</v>
      </c>
      <c r="B4" s="19" t="s">
        <v>11</v>
      </c>
      <c r="C4" s="19" t="s">
        <v>11</v>
      </c>
      <c r="D4" s="19"/>
      <c r="E4" s="19" t="s">
        <v>12</v>
      </c>
      <c r="F4" s="19" t="s">
        <v>12</v>
      </c>
      <c r="H4" s="22" t="s">
        <v>10</v>
      </c>
      <c r="I4" s="23" t="s">
        <v>11</v>
      </c>
      <c r="J4" s="23" t="s">
        <v>11</v>
      </c>
      <c r="K4" s="23"/>
      <c r="L4" s="23" t="s">
        <v>12</v>
      </c>
      <c r="M4" s="23" t="s">
        <v>12</v>
      </c>
      <c r="O4" s="8" t="s">
        <v>10</v>
      </c>
      <c r="P4" s="9" t="s">
        <v>11</v>
      </c>
      <c r="Q4" s="9" t="s">
        <v>11</v>
      </c>
      <c r="R4" s="9"/>
      <c r="S4" s="9" t="s">
        <v>12</v>
      </c>
      <c r="T4" s="9" t="s">
        <v>12</v>
      </c>
      <c r="V4" s="14" t="s">
        <v>10</v>
      </c>
      <c r="W4" s="15" t="s">
        <v>11</v>
      </c>
      <c r="X4" s="15" t="s">
        <v>11</v>
      </c>
      <c r="Y4" s="15"/>
      <c r="Z4" s="15" t="s">
        <v>12</v>
      </c>
      <c r="AA4" s="15" t="s">
        <v>12</v>
      </c>
      <c r="AC4" s="3" t="s">
        <v>10</v>
      </c>
      <c r="AD4" s="4" t="s">
        <v>11</v>
      </c>
      <c r="AE4" s="4" t="s">
        <v>11</v>
      </c>
      <c r="AF4" s="4"/>
      <c r="AG4" s="4" t="s">
        <v>12</v>
      </c>
      <c r="AH4" s="4" t="s">
        <v>12</v>
      </c>
    </row>
    <row r="5" spans="1:34">
      <c r="A5" s="19" t="s">
        <v>13</v>
      </c>
      <c r="B5" s="19" t="s">
        <v>14</v>
      </c>
      <c r="C5" s="19" t="s">
        <v>15</v>
      </c>
      <c r="D5" s="19"/>
      <c r="E5" s="19" t="s">
        <v>16</v>
      </c>
      <c r="F5" s="19" t="s">
        <v>17</v>
      </c>
      <c r="H5" s="22" t="s">
        <v>13</v>
      </c>
      <c r="I5" s="23" t="s">
        <v>14</v>
      </c>
      <c r="J5" s="23" t="s">
        <v>15</v>
      </c>
      <c r="K5" s="23"/>
      <c r="L5" s="23" t="s">
        <v>16</v>
      </c>
      <c r="M5" s="23" t="s">
        <v>17</v>
      </c>
      <c r="O5" s="8" t="s">
        <v>13</v>
      </c>
      <c r="P5" s="9" t="s">
        <v>14</v>
      </c>
      <c r="Q5" s="9" t="s">
        <v>15</v>
      </c>
      <c r="R5" s="9"/>
      <c r="S5" s="9" t="s">
        <v>16</v>
      </c>
      <c r="T5" s="9" t="s">
        <v>17</v>
      </c>
      <c r="V5" s="14" t="s">
        <v>13</v>
      </c>
      <c r="W5" s="15" t="s">
        <v>14</v>
      </c>
      <c r="X5" s="15" t="s">
        <v>15</v>
      </c>
      <c r="Y5" s="15"/>
      <c r="Z5" s="15" t="s">
        <v>16</v>
      </c>
      <c r="AA5" s="15" t="s">
        <v>17</v>
      </c>
      <c r="AC5" s="3" t="s">
        <v>13</v>
      </c>
      <c r="AD5" s="4" t="s">
        <v>14</v>
      </c>
      <c r="AE5" s="4" t="s">
        <v>15</v>
      </c>
      <c r="AF5" s="4"/>
      <c r="AG5" s="4" t="s">
        <v>16</v>
      </c>
      <c r="AH5" s="4" t="s">
        <v>17</v>
      </c>
    </row>
    <row r="6" spans="1:34">
      <c r="A6" s="19" t="s">
        <v>18</v>
      </c>
      <c r="B6" s="19">
        <v>15</v>
      </c>
      <c r="C6" s="19">
        <v>13</v>
      </c>
      <c r="D6" s="19"/>
      <c r="E6" s="19">
        <v>25</v>
      </c>
      <c r="F6" s="19">
        <v>18</v>
      </c>
      <c r="H6" s="22" t="s">
        <v>18</v>
      </c>
      <c r="I6" s="23">
        <f t="shared" ref="I6:J10" si="0">(B6-MIN(B$6:B$11))/(MAX(B$6:B$11)-MIN(B$6:B$11))</f>
        <v>0</v>
      </c>
      <c r="J6" s="23">
        <f t="shared" si="0"/>
        <v>0</v>
      </c>
      <c r="K6" s="23"/>
      <c r="L6" s="23">
        <f t="shared" ref="L6:M10" si="1">(E6-MIN(E$6:E$11))/(MAX(E$6:E$11)-MIN(E$6:E$11))</f>
        <v>0</v>
      </c>
      <c r="M6" s="23">
        <f t="shared" si="1"/>
        <v>0</v>
      </c>
      <c r="O6" s="8" t="s">
        <v>18</v>
      </c>
      <c r="P6" s="9"/>
      <c r="Q6" s="9"/>
      <c r="R6" s="9"/>
      <c r="S6" s="9"/>
      <c r="T6" s="9"/>
      <c r="V6" s="14" t="s">
        <v>18</v>
      </c>
      <c r="W6" s="15">
        <f>(B6-AVERAGE(B$6:B$11))/_xlfn.STDEV.S(B$6:B$11)</f>
        <v>-0.88201055133070749</v>
      </c>
      <c r="X6" s="15">
        <f>(C6-AVERAGE(C$6:C$11))/_xlfn.STDEV.S(C$6:C$11)</f>
        <v>-0.8679236173818069</v>
      </c>
      <c r="Y6" s="15"/>
      <c r="Z6" s="15">
        <f>(E6-AVERAGE(E$6:E$11))/_xlfn.STDEV.S(E$6:E$11)</f>
        <v>-0.85234247136617058</v>
      </c>
      <c r="AA6" s="15">
        <f>(F6-AVERAGE(F$6:F$11))/_xlfn.STDEV.S(F$6:F$11)</f>
        <v>-0.88482103515220845</v>
      </c>
      <c r="AC6" s="3" t="s">
        <v>18</v>
      </c>
      <c r="AD6" s="4"/>
      <c r="AE6" s="4"/>
      <c r="AF6" s="4"/>
      <c r="AG6" s="4"/>
      <c r="AH6" s="4"/>
    </row>
    <row r="7" spans="1:34">
      <c r="A7" s="19" t="s">
        <v>19</v>
      </c>
      <c r="B7" s="19">
        <v>34</v>
      </c>
      <c r="C7" s="19">
        <v>28</v>
      </c>
      <c r="D7" s="19"/>
      <c r="E7" s="19">
        <v>40</v>
      </c>
      <c r="F7" s="19">
        <v>33</v>
      </c>
      <c r="H7" s="22" t="s">
        <v>19</v>
      </c>
      <c r="I7" s="23">
        <f t="shared" si="0"/>
        <v>8.2608695652173908E-2</v>
      </c>
      <c r="J7" s="23">
        <f t="shared" si="0"/>
        <v>6.5789473684210523E-2</v>
      </c>
      <c r="K7" s="23"/>
      <c r="L7" s="23">
        <f t="shared" si="1"/>
        <v>6.5502183406113537E-2</v>
      </c>
      <c r="M7" s="23">
        <f t="shared" si="1"/>
        <v>6.4377682403433473E-2</v>
      </c>
      <c r="O7" s="8" t="s">
        <v>19</v>
      </c>
      <c r="P7" s="9"/>
      <c r="Q7" s="9"/>
      <c r="R7" s="9"/>
      <c r="S7" s="9"/>
      <c r="T7" s="9"/>
      <c r="V7" s="14" t="s">
        <v>19</v>
      </c>
      <c r="W7" s="15">
        <f t="shared" ref="W7:W10" si="2">(B7-AVERAGE(B$6:B$11))/_xlfn.STDEV.S(B$6:B$11)</f>
        <v>-0.67714257486024976</v>
      </c>
      <c r="X7" s="15">
        <f t="shared" ref="X7:X10" si="3">(C7-AVERAGE(C$6:C$11))/_xlfn.STDEV.S(C$6:C$11)</f>
        <v>-0.7043701718952855</v>
      </c>
      <c r="Y7" s="15"/>
      <c r="Z7" s="15">
        <f t="shared" ref="Z7:Z10" si="4">(E7-AVERAGE(E$6:E$11))/_xlfn.STDEV.S(E$6:E$11)</f>
        <v>-0.69091397300136559</v>
      </c>
      <c r="AA7" s="15">
        <f t="shared" ref="AA7:AA10" si="5">(F7-AVERAGE(F$6:F$11))/_xlfn.STDEV.S(F$6:F$11)</f>
        <v>-0.72529801198774779</v>
      </c>
      <c r="AC7" s="3" t="s">
        <v>19</v>
      </c>
      <c r="AD7" s="4"/>
      <c r="AE7" s="4"/>
      <c r="AF7" s="4"/>
      <c r="AG7" s="4"/>
      <c r="AH7" s="4"/>
    </row>
    <row r="8" spans="1:34">
      <c r="A8" s="19" t="s">
        <v>20</v>
      </c>
      <c r="B8" s="19">
        <v>65</v>
      </c>
      <c r="C8" s="19">
        <v>67</v>
      </c>
      <c r="D8" s="19"/>
      <c r="E8" s="19">
        <v>72</v>
      </c>
      <c r="F8" s="19">
        <v>76</v>
      </c>
      <c r="H8" s="22" t="s">
        <v>20</v>
      </c>
      <c r="I8" s="23">
        <f t="shared" si="0"/>
        <v>0.21739130434782608</v>
      </c>
      <c r="J8" s="23">
        <f t="shared" si="0"/>
        <v>0.23684210526315788</v>
      </c>
      <c r="K8" s="23"/>
      <c r="L8" s="23">
        <f t="shared" si="1"/>
        <v>0.20524017467248909</v>
      </c>
      <c r="M8" s="23">
        <f t="shared" si="1"/>
        <v>0.24892703862660945</v>
      </c>
      <c r="O8" s="8" t="s">
        <v>20</v>
      </c>
      <c r="P8" s="9"/>
      <c r="Q8" s="9"/>
      <c r="R8" s="9"/>
      <c r="S8" s="9"/>
      <c r="T8" s="9"/>
      <c r="V8" s="14" t="s">
        <v>20</v>
      </c>
      <c r="W8" s="15">
        <f t="shared" si="2"/>
        <v>-0.3428842974610819</v>
      </c>
      <c r="X8" s="15">
        <f t="shared" si="3"/>
        <v>-0.27913121363032983</v>
      </c>
      <c r="Y8" s="15"/>
      <c r="Z8" s="15">
        <f t="shared" si="4"/>
        <v>-0.34653317648978149</v>
      </c>
      <c r="AA8" s="15">
        <f t="shared" si="5"/>
        <v>-0.26799867891629392</v>
      </c>
      <c r="AC8" s="3" t="s">
        <v>20</v>
      </c>
      <c r="AD8" s="4"/>
      <c r="AE8" s="4"/>
      <c r="AF8" s="4"/>
      <c r="AG8" s="4"/>
      <c r="AH8" s="4"/>
    </row>
    <row r="9" spans="1:34">
      <c r="A9" s="19" t="s">
        <v>21</v>
      </c>
      <c r="B9" s="19">
        <v>125</v>
      </c>
      <c r="C9" s="19">
        <v>114</v>
      </c>
      <c r="D9" s="19"/>
      <c r="E9" s="19">
        <v>130</v>
      </c>
      <c r="F9" s="19">
        <v>128</v>
      </c>
      <c r="H9" s="22" t="s">
        <v>21</v>
      </c>
      <c r="I9" s="23">
        <f t="shared" si="0"/>
        <v>0.47826086956521741</v>
      </c>
      <c r="J9" s="23">
        <f t="shared" si="0"/>
        <v>0.44298245614035087</v>
      </c>
      <c r="K9" s="23"/>
      <c r="L9" s="23">
        <f t="shared" si="1"/>
        <v>0.45851528384279477</v>
      </c>
      <c r="M9" s="23">
        <f t="shared" si="1"/>
        <v>0.47210300429184548</v>
      </c>
      <c r="O9" s="8" t="s">
        <v>21</v>
      </c>
      <c r="P9" s="9"/>
      <c r="Q9" s="9"/>
      <c r="R9" s="9"/>
      <c r="S9" s="9"/>
      <c r="T9" s="9"/>
      <c r="V9" s="14" t="s">
        <v>21</v>
      </c>
      <c r="W9" s="15">
        <f t="shared" si="2"/>
        <v>0.30406720718246888</v>
      </c>
      <c r="X9" s="15">
        <f t="shared" si="3"/>
        <v>0.23333624889410395</v>
      </c>
      <c r="Y9" s="15"/>
      <c r="Z9" s="15">
        <f t="shared" si="4"/>
        <v>0.27765701718746461</v>
      </c>
      <c r="AA9" s="15">
        <f t="shared" si="5"/>
        <v>0.28501446805383635</v>
      </c>
      <c r="AC9" s="3" t="s">
        <v>21</v>
      </c>
      <c r="AD9" s="4"/>
      <c r="AE9" s="4"/>
      <c r="AF9" s="4"/>
      <c r="AG9" s="4"/>
      <c r="AH9" s="4"/>
    </row>
    <row r="10" spans="1:34">
      <c r="A10" s="19" t="s">
        <v>22</v>
      </c>
      <c r="B10" s="19">
        <v>245</v>
      </c>
      <c r="C10" s="19">
        <v>241</v>
      </c>
      <c r="D10" s="19"/>
      <c r="E10" s="19">
        <v>254</v>
      </c>
      <c r="F10" s="19">
        <v>251</v>
      </c>
      <c r="H10" s="22" t="s">
        <v>22</v>
      </c>
      <c r="I10" s="23">
        <f t="shared" si="0"/>
        <v>1</v>
      </c>
      <c r="J10" s="23">
        <f t="shared" si="0"/>
        <v>1</v>
      </c>
      <c r="K10" s="23"/>
      <c r="L10" s="23">
        <f t="shared" si="1"/>
        <v>1</v>
      </c>
      <c r="M10" s="23">
        <f t="shared" si="1"/>
        <v>1</v>
      </c>
      <c r="O10" s="8" t="s">
        <v>22</v>
      </c>
      <c r="P10" s="9"/>
      <c r="Q10" s="9"/>
      <c r="R10" s="9"/>
      <c r="S10" s="9"/>
      <c r="T10" s="9"/>
      <c r="V10" s="14" t="s">
        <v>22</v>
      </c>
      <c r="W10" s="15">
        <f t="shared" si="2"/>
        <v>1.5979702164695704</v>
      </c>
      <c r="X10" s="15">
        <f t="shared" si="3"/>
        <v>1.6180887540133186</v>
      </c>
      <c r="Y10" s="15"/>
      <c r="Z10" s="15">
        <f t="shared" si="4"/>
        <v>1.6121326036698529</v>
      </c>
      <c r="AA10" s="15">
        <f t="shared" si="5"/>
        <v>1.5931032580024138</v>
      </c>
      <c r="AC10" s="3" t="s">
        <v>22</v>
      </c>
      <c r="AD10" s="4"/>
      <c r="AE10" s="4"/>
      <c r="AF10" s="4"/>
      <c r="AG10" s="4"/>
      <c r="AH10" s="4"/>
    </row>
    <row r="11" spans="1:34">
      <c r="A11" s="19" t="s">
        <v>23</v>
      </c>
      <c r="B11" s="19"/>
      <c r="C11" s="19"/>
      <c r="D11" s="19"/>
      <c r="E11" s="19"/>
      <c r="F11" s="19"/>
      <c r="H11" s="22" t="s">
        <v>23</v>
      </c>
      <c r="I11" s="23"/>
      <c r="J11" s="23"/>
      <c r="K11" s="23"/>
      <c r="L11" s="23"/>
      <c r="M11" s="23"/>
      <c r="O11" s="8" t="s">
        <v>23</v>
      </c>
      <c r="P11" s="9"/>
      <c r="Q11" s="9"/>
      <c r="R11" s="9"/>
      <c r="S11" s="9"/>
      <c r="T11" s="9"/>
      <c r="V11" s="14" t="s">
        <v>23</v>
      </c>
      <c r="W11" s="15"/>
      <c r="X11" s="15"/>
      <c r="Y11" s="15"/>
      <c r="Z11" s="15"/>
      <c r="AA11" s="15"/>
      <c r="AC11" s="3" t="s">
        <v>23</v>
      </c>
      <c r="AD11" s="4"/>
      <c r="AE11" s="4"/>
      <c r="AF11" s="4"/>
      <c r="AG11" s="4"/>
      <c r="AH11" s="4"/>
    </row>
    <row r="12" spans="1:34">
      <c r="A12" s="19"/>
      <c r="B12" s="19"/>
      <c r="C12" s="19"/>
      <c r="D12" s="19"/>
      <c r="E12" s="19"/>
      <c r="F12" s="19"/>
      <c r="H12" s="22"/>
      <c r="I12" s="23"/>
      <c r="J12" s="23"/>
      <c r="K12" s="23"/>
      <c r="L12" s="23"/>
      <c r="M12" s="23"/>
      <c r="O12" s="8"/>
      <c r="P12" s="9"/>
      <c r="Q12" s="9"/>
      <c r="R12" s="9"/>
      <c r="S12" s="9"/>
      <c r="T12" s="9"/>
      <c r="V12" s="14"/>
      <c r="W12" s="15"/>
      <c r="X12" s="15"/>
      <c r="Y12" s="15"/>
      <c r="Z12" s="15"/>
      <c r="AA12" s="15"/>
      <c r="AC12" s="3"/>
      <c r="AD12" s="4"/>
      <c r="AE12" s="4"/>
      <c r="AF12" s="4"/>
      <c r="AG12" s="4"/>
      <c r="AH12" s="4"/>
    </row>
    <row r="13" spans="1:34">
      <c r="A13" s="19" t="s">
        <v>24</v>
      </c>
      <c r="B13" s="19">
        <v>45</v>
      </c>
      <c r="C13" s="19">
        <v>159</v>
      </c>
      <c r="D13" s="19"/>
      <c r="E13" s="19">
        <v>52</v>
      </c>
      <c r="F13" s="19">
        <v>160</v>
      </c>
      <c r="H13" s="22" t="s">
        <v>24</v>
      </c>
      <c r="I13" s="23">
        <f>(B13-MIN(B$6:B$11))/(MAX(B$6:B$11)-MIN(B$6:B$11))</f>
        <v>0.13043478260869565</v>
      </c>
      <c r="J13" s="23">
        <f t="shared" ref="I13:J17" si="6">(C13-MIN(C$6:C$11))/(MAX(C$6:C$11)-MIN(C$6:C$11))</f>
        <v>0.64035087719298245</v>
      </c>
      <c r="K13" s="23"/>
      <c r="L13" s="23">
        <f t="shared" ref="L13:M17" si="7">(E13-MIN(E$6:E$11))/(MAX(E$6:E$11)-MIN(E$6:E$11))</f>
        <v>0.11790393013100436</v>
      </c>
      <c r="M13" s="23">
        <f t="shared" si="7"/>
        <v>0.6094420600858369</v>
      </c>
      <c r="O13" s="8" t="s">
        <v>24</v>
      </c>
      <c r="P13" s="9">
        <f>(B13-MIN(B$13:B$17))/(MAX(B$13:B$17)-MIN(B$13:B$17))</f>
        <v>4.5454545454545456E-2</v>
      </c>
      <c r="Q13" s="9">
        <f>(C13-MIN(C$13:C$17))/(MAX(C$13:C$17)-MIN(C$13:C$17))</f>
        <v>1</v>
      </c>
      <c r="R13" s="9"/>
      <c r="S13" s="9">
        <f>(E13-MIN(E$13:E$17))/(MAX(E$13:E$17)-MIN(E$13:E$17))</f>
        <v>5.2631578947368418E-2</v>
      </c>
      <c r="T13" s="9">
        <f>(F13-MIN(F$13:F$17))/(MAX(F$13:F$17)-MIN(F$13:F$17))</f>
        <v>1</v>
      </c>
      <c r="V13" s="14" t="s">
        <v>24</v>
      </c>
      <c r="W13" s="15">
        <f>(B13-AVERAGE(B$6:B$11))/_xlfn.STDEV.S(B$6:B$11)</f>
        <v>-0.5585347990089321</v>
      </c>
      <c r="X13" s="15">
        <f>(C13-AVERAGE(C$6:C$11))/_xlfn.STDEV.S(C$6:C$11)</f>
        <v>0.72399658535366818</v>
      </c>
      <c r="Y13" s="15"/>
      <c r="Z13" s="15">
        <f>(E13-AVERAGE(E$6:E$11))/_xlfn.STDEV.S(E$6:E$11)</f>
        <v>-0.5617711743095215</v>
      </c>
      <c r="AA13" s="15">
        <f>(F13-AVERAGE(F$6:F$11))/_xlfn.STDEV.S(F$6:F$11)</f>
        <v>0.62533025080468574</v>
      </c>
      <c r="AC13" s="3" t="s">
        <v>24</v>
      </c>
      <c r="AD13" s="4">
        <f>(B13-AVERAGE(B$13:B$24))/_xlfn.STDEV.S(B$6:B$24)</f>
        <v>-1.0672783668418404</v>
      </c>
      <c r="AE13" s="4">
        <f>(C13-AVERAGE(C$13:C$24))/_xlfn.STDEV.S(C$6:C$24)</f>
        <v>1.108877459117908</v>
      </c>
      <c r="AF13" s="4"/>
      <c r="AG13" s="4">
        <f>(E13-AVERAGE(E$13:E$24))/_xlfn.STDEV.S(E$6:E$24)</f>
        <v>-1.0230550309692921</v>
      </c>
      <c r="AH13" s="4">
        <f>(F13-AVERAGE(F$13:F$24))/_xlfn.STDEV.S(F$6:F$24)</f>
        <v>1.0839917671155905</v>
      </c>
    </row>
    <row r="14" spans="1:34">
      <c r="A14" s="19" t="s">
        <v>25</v>
      </c>
      <c r="B14" s="19">
        <v>168</v>
      </c>
      <c r="C14" s="19">
        <v>45</v>
      </c>
      <c r="D14" s="19"/>
      <c r="E14" s="19">
        <v>165</v>
      </c>
      <c r="F14" s="19">
        <v>41</v>
      </c>
      <c r="H14" s="22" t="s">
        <v>25</v>
      </c>
      <c r="I14" s="23">
        <f t="shared" si="6"/>
        <v>0.66521739130434787</v>
      </c>
      <c r="J14" s="23">
        <f t="shared" si="6"/>
        <v>0.14035087719298245</v>
      </c>
      <c r="K14" s="23"/>
      <c r="L14" s="23">
        <f t="shared" si="7"/>
        <v>0.611353711790393</v>
      </c>
      <c r="M14" s="23">
        <f t="shared" si="7"/>
        <v>9.8712446351931327E-2</v>
      </c>
      <c r="O14" s="8" t="s">
        <v>25</v>
      </c>
      <c r="P14" s="9">
        <f t="shared" ref="P14:P17" si="8">(B14-MIN(B$13:B$17))/(MAX(B$13:B$17)-MIN(B$13:B$17))</f>
        <v>0.6045454545454545</v>
      </c>
      <c r="Q14" s="9">
        <f>(L14-MIN(L$6:L$11))/(MAX(L$6:L$11)-MIN(L$6:L$11))</f>
        <v>0.611353711790393</v>
      </c>
      <c r="R14" s="9"/>
      <c r="S14" s="9">
        <f t="shared" ref="S14:S17" si="9">(E14-MIN(E$13:E$17))/(MAX(E$13:E$17)-MIN(E$13:E$17))</f>
        <v>0.59330143540669855</v>
      </c>
      <c r="T14" s="9">
        <f t="shared" ref="T14:T17" si="10">(F14-MIN(F$13:F$17))/(MAX(F$13:F$17)-MIN(F$13:F$17))</f>
        <v>0.1736111111111111</v>
      </c>
      <c r="V14" s="14" t="s">
        <v>25</v>
      </c>
      <c r="W14" s="15">
        <f>(B14-AVERAGE(B$6:B$11))/_xlfn.STDEV.S(B$6:B$11)</f>
        <v>0.76771578551034692</v>
      </c>
      <c r="X14" s="15">
        <f>(C14-AVERAGE(C$6:C$11))/_xlfn.STDEV.S(C$6:C$11)</f>
        <v>-0.51900960034389454</v>
      </c>
      <c r="Y14" s="15"/>
      <c r="Z14" s="15">
        <f t="shared" ref="Z14:Z17" si="11">(E14-AVERAGE(E$6:E$11))/_xlfn.STDEV.S(E$6:E$11)</f>
        <v>0.65432351337200967</v>
      </c>
      <c r="AA14" s="15">
        <f t="shared" ref="AA14:AA17" si="12">(F14-AVERAGE(F$6:F$11))/_xlfn.STDEV.S(F$6:F$11)</f>
        <v>-0.64021906630003544</v>
      </c>
      <c r="AC14" s="3" t="s">
        <v>25</v>
      </c>
      <c r="AD14" s="4">
        <f t="shared" ref="AD14:AD17" si="13">(B14-AVERAGE(B$13:B$24))/_xlfn.STDEV.S(B$6:B$24)</f>
        <v>0.19985714591439876</v>
      </c>
      <c r="AE14" s="4">
        <f t="shared" ref="AE14:AE17" si="14">(C14-AVERAGE(C$13:C$24))/_xlfn.STDEV.S(C$6:C$24)</f>
        <v>-0.42153453046370848</v>
      </c>
      <c r="AF14" s="4"/>
      <c r="AG14" s="4">
        <f t="shared" ref="AG14:AG17" si="15">(E14-AVERAGE(E$13:E$24))/_xlfn.STDEV.S(E$6:E$24)</f>
        <v>0.21204345727354995</v>
      </c>
      <c r="AH14" s="4">
        <f t="shared" ref="AH14:AH17" si="16">(F14-AVERAGE(F$13:F$24))/_xlfn.STDEV.S(F$6:F$24)</f>
        <v>-0.46271111402056375</v>
      </c>
    </row>
    <row r="15" spans="1:34">
      <c r="A15" s="19" t="s">
        <v>26</v>
      </c>
      <c r="B15" s="19">
        <v>255</v>
      </c>
      <c r="C15" s="19">
        <v>126</v>
      </c>
      <c r="D15" s="19"/>
      <c r="E15" s="19">
        <v>250</v>
      </c>
      <c r="F15" s="19">
        <v>130</v>
      </c>
      <c r="H15" s="22" t="s">
        <v>26</v>
      </c>
      <c r="I15" s="23">
        <f t="shared" si="6"/>
        <v>1.0434782608695652</v>
      </c>
      <c r="J15" s="23">
        <f t="shared" si="6"/>
        <v>0.49561403508771928</v>
      </c>
      <c r="K15" s="23"/>
      <c r="L15" s="23">
        <f t="shared" si="7"/>
        <v>0.98253275109170302</v>
      </c>
      <c r="M15" s="23">
        <f t="shared" si="7"/>
        <v>0.48068669527896996</v>
      </c>
      <c r="O15" s="8" t="s">
        <v>26</v>
      </c>
      <c r="P15" s="9">
        <f t="shared" si="8"/>
        <v>1</v>
      </c>
      <c r="Q15" s="9">
        <f>(L15-MIN(L$6:L$11))/(MAX(L$6:L$11)-MIN(L$6:L$11))</f>
        <v>0.98253275109170302</v>
      </c>
      <c r="R15" s="9"/>
      <c r="S15" s="9">
        <f t="shared" si="9"/>
        <v>1</v>
      </c>
      <c r="T15" s="9">
        <f t="shared" si="10"/>
        <v>0.79166666666666663</v>
      </c>
      <c r="V15" s="14" t="s">
        <v>26</v>
      </c>
      <c r="W15" s="15">
        <f t="shared" ref="W15:W17" si="17">(B15-AVERAGE(B$6:B$11))/_xlfn.STDEV.S(B$6:B$11)</f>
        <v>1.7057954672434954</v>
      </c>
      <c r="X15" s="15">
        <f t="shared" ref="X15:X17" si="18">(C15-AVERAGE(C$6:C$11))/_xlfn.STDEV.S(C$6:C$11)</f>
        <v>0.36417900528332109</v>
      </c>
      <c r="Y15" s="15"/>
      <c r="Z15" s="15">
        <f t="shared" si="11"/>
        <v>1.569085004105905</v>
      </c>
      <c r="AA15" s="15">
        <f t="shared" si="12"/>
        <v>0.30628420447576443</v>
      </c>
      <c r="AC15" s="3" t="s">
        <v>26</v>
      </c>
      <c r="AD15" s="4">
        <f t="shared" si="13"/>
        <v>1.0961237281078362</v>
      </c>
      <c r="AE15" s="4">
        <f t="shared" si="14"/>
        <v>0.6658634621337558</v>
      </c>
      <c r="AF15" s="4"/>
      <c r="AG15" s="4">
        <f t="shared" si="15"/>
        <v>1.1410998422349798</v>
      </c>
      <c r="AH15" s="4">
        <f t="shared" si="16"/>
        <v>0.69406667103084585</v>
      </c>
    </row>
    <row r="16" spans="1:34">
      <c r="A16" s="19" t="s">
        <v>27</v>
      </c>
      <c r="B16" s="19">
        <v>240</v>
      </c>
      <c r="C16" s="19">
        <v>14</v>
      </c>
      <c r="D16" s="19"/>
      <c r="E16" s="19">
        <v>220</v>
      </c>
      <c r="F16" s="19">
        <v>16</v>
      </c>
      <c r="H16" s="22" t="s">
        <v>27</v>
      </c>
      <c r="I16" s="23">
        <f t="shared" si="6"/>
        <v>0.97826086956521741</v>
      </c>
      <c r="J16" s="23">
        <f t="shared" si="6"/>
        <v>4.3859649122807015E-3</v>
      </c>
      <c r="K16" s="23"/>
      <c r="L16" s="23">
        <f t="shared" si="7"/>
        <v>0.85152838427947597</v>
      </c>
      <c r="M16" s="23">
        <f t="shared" si="7"/>
        <v>-8.5836909871244635E-3</v>
      </c>
      <c r="O16" s="8" t="s">
        <v>27</v>
      </c>
      <c r="P16" s="9">
        <f t="shared" si="8"/>
        <v>0.93181818181818177</v>
      </c>
      <c r="Q16" s="9">
        <f>(L16-MIN(L$6:L$11))/(MAX(L$6:L$11)-MIN(L$6:L$11))</f>
        <v>0.85152838427947597</v>
      </c>
      <c r="R16" s="9"/>
      <c r="S16" s="9">
        <f t="shared" si="9"/>
        <v>0.8564593301435407</v>
      </c>
      <c r="T16" s="9">
        <f t="shared" si="10"/>
        <v>0</v>
      </c>
      <c r="V16" s="14" t="s">
        <v>27</v>
      </c>
      <c r="W16" s="15">
        <f t="shared" si="17"/>
        <v>1.5440575910826078</v>
      </c>
      <c r="X16" s="15">
        <f t="shared" si="18"/>
        <v>-0.85702005434937212</v>
      </c>
      <c r="Y16" s="15"/>
      <c r="Z16" s="15">
        <f t="shared" si="11"/>
        <v>1.2462280073762948</v>
      </c>
      <c r="AA16" s="15">
        <f t="shared" si="12"/>
        <v>-0.90609077157413653</v>
      </c>
      <c r="AC16" s="3" t="s">
        <v>27</v>
      </c>
      <c r="AD16" s="4">
        <f t="shared" si="13"/>
        <v>0.94159500704000221</v>
      </c>
      <c r="AE16" s="4">
        <f t="shared" si="14"/>
        <v>-0.83769919429730588</v>
      </c>
      <c r="AF16" s="4"/>
      <c r="AG16" s="4">
        <f t="shared" si="15"/>
        <v>0.81319758871918102</v>
      </c>
      <c r="AH16" s="4">
        <f t="shared" si="16"/>
        <v>-0.78764869409118443</v>
      </c>
    </row>
    <row r="17" spans="1:34">
      <c r="A17" s="19" t="s">
        <v>28</v>
      </c>
      <c r="B17" s="19">
        <v>35</v>
      </c>
      <c r="C17" s="19">
        <v>38</v>
      </c>
      <c r="D17" s="19"/>
      <c r="E17" s="19">
        <v>41</v>
      </c>
      <c r="F17" s="19">
        <v>36</v>
      </c>
      <c r="H17" s="22" t="s">
        <v>28</v>
      </c>
      <c r="I17" s="23">
        <f t="shared" si="6"/>
        <v>8.6956521739130432E-2</v>
      </c>
      <c r="J17" s="23">
        <f t="shared" si="6"/>
        <v>0.10964912280701754</v>
      </c>
      <c r="K17" s="23"/>
      <c r="L17" s="23">
        <f t="shared" si="7"/>
        <v>6.9868995633187769E-2</v>
      </c>
      <c r="M17" s="23">
        <f t="shared" si="7"/>
        <v>7.7253218884120178E-2</v>
      </c>
      <c r="O17" s="8" t="s">
        <v>28</v>
      </c>
      <c r="P17" s="9">
        <f t="shared" si="8"/>
        <v>0</v>
      </c>
      <c r="Q17" s="9">
        <f>(L17-MIN(L$6:L$11))/(MAX(L$6:L$11)-MIN(L$6:L$11))</f>
        <v>6.9868995633187769E-2</v>
      </c>
      <c r="R17" s="9"/>
      <c r="S17" s="9">
        <f t="shared" si="9"/>
        <v>0</v>
      </c>
      <c r="T17" s="9">
        <f t="shared" si="10"/>
        <v>0.1388888888888889</v>
      </c>
      <c r="V17" s="14" t="s">
        <v>28</v>
      </c>
      <c r="W17" s="15">
        <f t="shared" si="17"/>
        <v>-0.66636004978285723</v>
      </c>
      <c r="X17" s="15">
        <f t="shared" si="18"/>
        <v>-0.5953345415709379</v>
      </c>
      <c r="Y17" s="15"/>
      <c r="Z17" s="15">
        <f t="shared" si="11"/>
        <v>-0.68015207311037851</v>
      </c>
      <c r="AA17" s="15">
        <f t="shared" si="12"/>
        <v>-0.69339340735485566</v>
      </c>
      <c r="AC17" s="3" t="s">
        <v>28</v>
      </c>
      <c r="AD17" s="4">
        <f t="shared" si="13"/>
        <v>-1.1702975142203964</v>
      </c>
      <c r="AE17" s="4">
        <f t="shared" si="14"/>
        <v>-0.5155071964906498</v>
      </c>
      <c r="AF17" s="4"/>
      <c r="AG17" s="4">
        <f t="shared" si="15"/>
        <v>-1.1432858572584184</v>
      </c>
      <c r="AH17" s="4">
        <f t="shared" si="16"/>
        <v>-0.52769863003468787</v>
      </c>
    </row>
    <row r="18" spans="1:34">
      <c r="A18" s="19" t="s">
        <v>29</v>
      </c>
      <c r="B18" s="19"/>
      <c r="C18" s="19"/>
      <c r="D18" s="19"/>
      <c r="E18" s="19"/>
      <c r="F18" s="19"/>
      <c r="H18" s="22" t="s">
        <v>29</v>
      </c>
      <c r="I18" s="23"/>
      <c r="J18" s="23"/>
      <c r="K18" s="23"/>
      <c r="L18" s="23"/>
      <c r="M18" s="23"/>
      <c r="O18" s="8" t="s">
        <v>29</v>
      </c>
      <c r="P18" s="9"/>
      <c r="Q18" s="9"/>
      <c r="R18" s="9"/>
      <c r="S18" s="9"/>
      <c r="T18" s="9"/>
      <c r="V18" s="14" t="s">
        <v>29</v>
      </c>
      <c r="W18" s="15"/>
      <c r="X18" s="15"/>
      <c r="Y18" s="15"/>
      <c r="Z18" s="15"/>
      <c r="AA18" s="15"/>
      <c r="AC18" s="3" t="s">
        <v>29</v>
      </c>
      <c r="AD18" s="4"/>
      <c r="AE18" s="4"/>
      <c r="AF18" s="4"/>
      <c r="AG18" s="4"/>
      <c r="AH18" s="4"/>
    </row>
    <row r="19" spans="1:34">
      <c r="A19" s="19" t="s">
        <v>30</v>
      </c>
      <c r="B19" s="19"/>
      <c r="C19" s="19"/>
      <c r="D19" s="19"/>
      <c r="E19" s="19"/>
      <c r="F19" s="19"/>
      <c r="H19" s="22" t="s">
        <v>30</v>
      </c>
      <c r="I19" s="23"/>
      <c r="J19" s="23"/>
      <c r="K19" s="23"/>
      <c r="L19" s="23"/>
      <c r="M19" s="23"/>
      <c r="O19" s="8" t="s">
        <v>30</v>
      </c>
      <c r="P19" s="9"/>
      <c r="Q19" s="9"/>
      <c r="R19" s="9"/>
      <c r="S19" s="9"/>
      <c r="T19" s="9"/>
      <c r="V19" s="14" t="s">
        <v>30</v>
      </c>
      <c r="W19" s="15"/>
      <c r="X19" s="15"/>
      <c r="Y19" s="15"/>
      <c r="Z19" s="15"/>
      <c r="AA19" s="15"/>
      <c r="AC19" s="3" t="s">
        <v>30</v>
      </c>
      <c r="AD19" s="4"/>
      <c r="AE19" s="4"/>
      <c r="AF19" s="4"/>
      <c r="AG19" s="4"/>
      <c r="AH19" s="4"/>
    </row>
    <row r="20" spans="1:34">
      <c r="A20" s="19" t="s">
        <v>31</v>
      </c>
      <c r="B20" s="19"/>
      <c r="C20" s="19"/>
      <c r="D20" s="19"/>
      <c r="E20" s="19"/>
      <c r="F20" s="19"/>
      <c r="H20" s="22" t="s">
        <v>31</v>
      </c>
      <c r="I20" s="23"/>
      <c r="J20" s="23"/>
      <c r="K20" s="23"/>
      <c r="L20" s="23"/>
      <c r="M20" s="23"/>
      <c r="O20" s="8" t="s">
        <v>31</v>
      </c>
      <c r="P20" s="9"/>
      <c r="Q20" s="9"/>
      <c r="R20" s="9"/>
      <c r="S20" s="9"/>
      <c r="T20" s="9"/>
      <c r="V20" s="14" t="s">
        <v>31</v>
      </c>
      <c r="W20" s="15"/>
      <c r="X20" s="15"/>
      <c r="Y20" s="15"/>
      <c r="Z20" s="15"/>
      <c r="AA20" s="15"/>
      <c r="AC20" s="3" t="s">
        <v>31</v>
      </c>
      <c r="AD20" s="4"/>
      <c r="AE20" s="4"/>
      <c r="AF20" s="4"/>
      <c r="AG20" s="4"/>
      <c r="AH20" s="4"/>
    </row>
    <row r="21" spans="1:34">
      <c r="A21" s="19" t="s">
        <v>32</v>
      </c>
      <c r="B21" s="19"/>
      <c r="C21" s="19"/>
      <c r="D21" s="19"/>
      <c r="E21" s="19"/>
      <c r="F21" s="19"/>
      <c r="H21" s="22" t="s">
        <v>32</v>
      </c>
      <c r="I21" s="23"/>
      <c r="J21" s="23"/>
      <c r="K21" s="23"/>
      <c r="L21" s="23"/>
      <c r="M21" s="23"/>
      <c r="O21" s="8" t="s">
        <v>32</v>
      </c>
      <c r="P21" s="9"/>
      <c r="Q21" s="9"/>
      <c r="R21" s="9"/>
      <c r="S21" s="9"/>
      <c r="T21" s="9"/>
      <c r="V21" s="14" t="s">
        <v>32</v>
      </c>
      <c r="W21" s="15"/>
      <c r="X21" s="15"/>
      <c r="Y21" s="15"/>
      <c r="Z21" s="15"/>
      <c r="AA21" s="15"/>
      <c r="AC21" s="3" t="s">
        <v>32</v>
      </c>
      <c r="AD21" s="4"/>
      <c r="AE21" s="4"/>
      <c r="AF21" s="4"/>
      <c r="AG21" s="4"/>
      <c r="AH21" s="4"/>
    </row>
    <row r="22" spans="1:34">
      <c r="A22" s="19" t="s">
        <v>33</v>
      </c>
      <c r="B22" s="19"/>
      <c r="C22" s="19"/>
      <c r="D22" s="19"/>
      <c r="E22" s="19"/>
      <c r="F22" s="19"/>
      <c r="H22" s="22" t="s">
        <v>33</v>
      </c>
      <c r="I22" s="23"/>
      <c r="J22" s="23"/>
      <c r="K22" s="23"/>
      <c r="L22" s="23"/>
      <c r="M22" s="23"/>
      <c r="O22" s="8" t="s">
        <v>33</v>
      </c>
      <c r="P22" s="9"/>
      <c r="Q22" s="9"/>
      <c r="R22" s="9"/>
      <c r="S22" s="9"/>
      <c r="T22" s="9"/>
      <c r="V22" s="14" t="s">
        <v>33</v>
      </c>
      <c r="W22" s="15"/>
      <c r="X22" s="15"/>
      <c r="Y22" s="15"/>
      <c r="Z22" s="15"/>
      <c r="AA22" s="15"/>
      <c r="AC22" s="3" t="s">
        <v>33</v>
      </c>
      <c r="AD22" s="4"/>
      <c r="AE22" s="4"/>
      <c r="AF22" s="4"/>
      <c r="AG22" s="4"/>
      <c r="AH22" s="4"/>
    </row>
    <row r="23" spans="1:34">
      <c r="A23" s="19" t="s">
        <v>34</v>
      </c>
      <c r="B23" s="19"/>
      <c r="C23" s="19"/>
      <c r="D23" s="19"/>
      <c r="E23" s="19"/>
      <c r="F23" s="19"/>
      <c r="H23" s="22" t="s">
        <v>34</v>
      </c>
      <c r="I23" s="23"/>
      <c r="J23" s="23"/>
      <c r="K23" s="23"/>
      <c r="L23" s="23"/>
      <c r="M23" s="23"/>
      <c r="O23" s="8" t="s">
        <v>34</v>
      </c>
      <c r="P23" s="9"/>
      <c r="Q23" s="9"/>
      <c r="R23" s="9"/>
      <c r="S23" s="9"/>
      <c r="T23" s="9"/>
      <c r="V23" s="14" t="s">
        <v>34</v>
      </c>
      <c r="W23" s="15"/>
      <c r="X23" s="15"/>
      <c r="Y23" s="15"/>
      <c r="Z23" s="15"/>
      <c r="AA23" s="15"/>
      <c r="AC23" s="3" t="s">
        <v>34</v>
      </c>
      <c r="AD23" s="4"/>
      <c r="AE23" s="4"/>
      <c r="AF23" s="4"/>
      <c r="AG23" s="4"/>
      <c r="AH23" s="4"/>
    </row>
    <row r="24" spans="1:34">
      <c r="A24" s="19" t="s">
        <v>35</v>
      </c>
      <c r="B24" s="19"/>
      <c r="C24" s="19"/>
      <c r="D24" s="19"/>
      <c r="E24" s="19"/>
      <c r="F24" s="19"/>
      <c r="H24" s="22" t="s">
        <v>35</v>
      </c>
      <c r="I24" s="23"/>
      <c r="J24" s="23"/>
      <c r="K24" s="23"/>
      <c r="L24" s="23"/>
      <c r="M24" s="23"/>
      <c r="O24" s="8" t="s">
        <v>35</v>
      </c>
      <c r="P24" s="9"/>
      <c r="Q24" s="9"/>
      <c r="R24" s="9"/>
      <c r="S24" s="9"/>
      <c r="T24" s="9"/>
      <c r="V24" s="14" t="s">
        <v>35</v>
      </c>
      <c r="W24" s="15"/>
      <c r="X24" s="15"/>
      <c r="Y24" s="15"/>
      <c r="Z24" s="15"/>
      <c r="AA24" s="15"/>
      <c r="AC24" s="3" t="s">
        <v>35</v>
      </c>
      <c r="AD24" s="4"/>
      <c r="AE24" s="4"/>
      <c r="AF24" s="4"/>
      <c r="AG24" s="4"/>
      <c r="AH24" s="4"/>
    </row>
  </sheetData>
  <mergeCells count="2">
    <mergeCell ref="AC3:AH3"/>
    <mergeCell ref="V3:AA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</dc:creator>
  <cp:keywords/>
  <dc:description/>
  <cp:lastModifiedBy/>
  <cp:revision/>
  <dcterms:created xsi:type="dcterms:W3CDTF">2015-06-05T18:17:20Z</dcterms:created>
  <dcterms:modified xsi:type="dcterms:W3CDTF">2026-02-04T19:25:42Z</dcterms:modified>
  <cp:category/>
  <cp:contentStatus/>
</cp:coreProperties>
</file>